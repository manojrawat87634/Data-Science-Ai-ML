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ata-Science-Ai-ML\09_ms_excel\03_formula\01_finiancal_function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C45" i="1"/>
  <c r="B45" i="1"/>
  <c r="C44" i="1"/>
  <c r="B5" i="1"/>
  <c r="C42" i="1"/>
  <c r="B33" i="1"/>
  <c r="B25" i="1"/>
  <c r="B24" i="1"/>
  <c r="B7" i="1"/>
  <c r="B6" i="1"/>
  <c r="B9" i="1" s="1"/>
  <c r="B8" i="1" l="1"/>
  <c r="B11" i="1"/>
  <c r="B10" i="1"/>
</calcChain>
</file>

<file path=xl/sharedStrings.xml><?xml version="1.0" encoding="utf-8"?>
<sst xmlns="http://schemas.openxmlformats.org/spreadsheetml/2006/main" count="21" uniqueCount="19">
  <si>
    <t>P</t>
  </si>
  <si>
    <t>R</t>
  </si>
  <si>
    <t xml:space="preserve">T </t>
  </si>
  <si>
    <t>PMT</t>
  </si>
  <si>
    <t>M</t>
  </si>
  <si>
    <t>IPMT</t>
  </si>
  <si>
    <t>PPMT</t>
  </si>
  <si>
    <t>Sum</t>
  </si>
  <si>
    <t>PV</t>
  </si>
  <si>
    <t>FV</t>
  </si>
  <si>
    <t>NPV</t>
  </si>
  <si>
    <t>XNPV</t>
  </si>
  <si>
    <t>IRR</t>
  </si>
  <si>
    <t>Nper</t>
  </si>
  <si>
    <t>xrr</t>
  </si>
  <si>
    <t>Rate</t>
  </si>
  <si>
    <t>NPER</t>
  </si>
  <si>
    <t xml:space="preserve">CUMIPMT </t>
  </si>
  <si>
    <t xml:space="preserve">CUMPRINC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</si>
</sst>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8" fontId="0" fillId="0" borderId="0" xfId="0" applyNumberFormat="1"/>
    <xf numFmtId="14" fontId="0" fillId="0" borderId="0" xfId="0" applyNumberFormat="1"/>
    <xf numFmtId="0" fontId="1" fillId="0" borderId="0" xfId="0" applyFont="1"/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topLeftCell="A4" workbookViewId="0">
      <selection activeCell="B14" sqref="B14"/>
    </sheetView>
  </sheetViews>
  <sheetFormatPr defaultRowHeight="14.4" x14ac:dyDescent="0.3"/>
  <cols>
    <col min="2" max="2" width="12.109375" bestFit="1" customWidth="1"/>
  </cols>
  <sheetData>
    <row r="1" spans="1:2" x14ac:dyDescent="0.3">
      <c r="A1" t="s">
        <v>0</v>
      </c>
      <c r="B1">
        <v>12000</v>
      </c>
    </row>
    <row r="2" spans="1:2" x14ac:dyDescent="0.3">
      <c r="A2" t="s">
        <v>1</v>
      </c>
      <c r="B2" s="1">
        <v>0.05</v>
      </c>
    </row>
    <row r="3" spans="1:2" x14ac:dyDescent="0.3">
      <c r="A3" t="s">
        <v>2</v>
      </c>
      <c r="B3">
        <v>60</v>
      </c>
    </row>
    <row r="4" spans="1:2" x14ac:dyDescent="0.3">
      <c r="A4" t="s">
        <v>4</v>
      </c>
      <c r="B4">
        <v>9</v>
      </c>
    </row>
    <row r="5" spans="1:2" x14ac:dyDescent="0.3">
      <c r="A5" t="s">
        <v>3</v>
      </c>
      <c r="B5" s="2">
        <f>PMT(B2/12, B3, B1)</f>
        <v>-226.45480372813122</v>
      </c>
    </row>
    <row r="6" spans="1:2" x14ac:dyDescent="0.3">
      <c r="A6" t="s">
        <v>5</v>
      </c>
      <c r="B6" s="2">
        <f>IPMT(B2/12, B4, B3, B1)</f>
        <v>-44.031678027641767</v>
      </c>
    </row>
    <row r="7" spans="1:2" x14ac:dyDescent="0.3">
      <c r="A7" t="s">
        <v>6</v>
      </c>
      <c r="B7" s="2">
        <f>PPMT(B2/12, B4, B3, B1)</f>
        <v>-182.42312570048946</v>
      </c>
    </row>
    <row r="8" spans="1:2" x14ac:dyDescent="0.3">
      <c r="A8" t="s">
        <v>13</v>
      </c>
      <c r="B8">
        <f>NPER(B2 / 12, B5, B1)</f>
        <v>60.000000000000213</v>
      </c>
    </row>
    <row r="9" spans="1:2" x14ac:dyDescent="0.3">
      <c r="A9" t="s">
        <v>7</v>
      </c>
      <c r="B9" s="2">
        <f>B6+B7</f>
        <v>-226.45480372813122</v>
      </c>
    </row>
    <row r="10" spans="1:2" x14ac:dyDescent="0.3">
      <c r="A10" t="s">
        <v>8</v>
      </c>
      <c r="B10" s="2">
        <f>PV(B2 / 12, B3, B5)</f>
        <v>12000.00000000004</v>
      </c>
    </row>
    <row r="11" spans="1:2" x14ac:dyDescent="0.3">
      <c r="A11" t="s">
        <v>9</v>
      </c>
      <c r="B11" s="2">
        <f>FV(B2/12, B3, B5)</f>
        <v>15400.30414204222</v>
      </c>
    </row>
    <row r="12" spans="1:2" x14ac:dyDescent="0.3">
      <c r="A12" t="s">
        <v>15</v>
      </c>
      <c r="B12" s="1">
        <f>RATE(B3, B5, B1)*12</f>
        <v>5.0000000000005942E-2</v>
      </c>
    </row>
    <row r="13" spans="1:2" x14ac:dyDescent="0.3">
      <c r="A13" t="s">
        <v>16</v>
      </c>
      <c r="B13">
        <f>NPER(B2/ 12, B5, B1)</f>
        <v>60.000000000000213</v>
      </c>
    </row>
    <row r="14" spans="1:2" x14ac:dyDescent="0.3">
      <c r="A14" s="6" t="s">
        <v>17</v>
      </c>
      <c r="B14">
        <f>CUMIPMT(B2/ 12, B3, B1, 1, 60, 0)</f>
        <v>-1587.2882236878722</v>
      </c>
    </row>
    <row r="15" spans="1:2" x14ac:dyDescent="0.3">
      <c r="A15" s="6" t="s">
        <v>18</v>
      </c>
      <c r="B15">
        <f>CUMPRINC(B2 / 12, B3, B1, 1, 20, 0)</f>
        <v>-3672.3444721711789</v>
      </c>
    </row>
    <row r="16" spans="1:2" x14ac:dyDescent="0.3">
      <c r="A16" t="s">
        <v>10</v>
      </c>
      <c r="B16">
        <v>13000</v>
      </c>
    </row>
    <row r="17" spans="1:3" x14ac:dyDescent="0.3">
      <c r="A17">
        <v>1</v>
      </c>
      <c r="B17">
        <v>2000</v>
      </c>
      <c r="C17" s="3">
        <v>46023</v>
      </c>
    </row>
    <row r="18" spans="1:3" x14ac:dyDescent="0.3">
      <c r="A18">
        <v>2</v>
      </c>
      <c r="B18">
        <v>2000</v>
      </c>
      <c r="C18" s="3">
        <v>46388</v>
      </c>
    </row>
    <row r="19" spans="1:3" x14ac:dyDescent="0.3">
      <c r="A19">
        <v>3</v>
      </c>
      <c r="B19">
        <v>1000</v>
      </c>
      <c r="C19" s="3">
        <v>46753</v>
      </c>
    </row>
    <row r="20" spans="1:3" x14ac:dyDescent="0.3">
      <c r="A20">
        <v>4</v>
      </c>
      <c r="B20">
        <v>4000</v>
      </c>
      <c r="C20" s="3">
        <v>47119</v>
      </c>
    </row>
    <row r="21" spans="1:3" x14ac:dyDescent="0.3">
      <c r="A21">
        <v>5</v>
      </c>
      <c r="B21">
        <v>1000</v>
      </c>
      <c r="C21" s="3">
        <v>47484</v>
      </c>
    </row>
    <row r="22" spans="1:3" x14ac:dyDescent="0.3">
      <c r="A22">
        <v>6</v>
      </c>
      <c r="B22">
        <v>4000</v>
      </c>
      <c r="C22" s="3">
        <v>47849</v>
      </c>
    </row>
    <row r="24" spans="1:3" x14ac:dyDescent="0.3">
      <c r="A24" t="s">
        <v>10</v>
      </c>
      <c r="B24" s="2">
        <f>NPV(B2, B17:B22)</f>
        <v>11641.856112391979</v>
      </c>
    </row>
    <row r="25" spans="1:3" x14ac:dyDescent="0.3">
      <c r="A25" t="s">
        <v>11</v>
      </c>
      <c r="B25">
        <f>XNPV(B2, B17:B22, C17:C22)</f>
        <v>12222.958188659493</v>
      </c>
    </row>
    <row r="26" spans="1:3" ht="16.8" x14ac:dyDescent="0.3">
      <c r="A26" s="4"/>
      <c r="B26" s="1"/>
    </row>
    <row r="28" spans="1:3" x14ac:dyDescent="0.3">
      <c r="B28">
        <v>-10000</v>
      </c>
    </row>
    <row r="29" spans="1:3" x14ac:dyDescent="0.3">
      <c r="B29">
        <v>6000</v>
      </c>
    </row>
    <row r="30" spans="1:3" x14ac:dyDescent="0.3">
      <c r="B30">
        <v>4300</v>
      </c>
    </row>
    <row r="31" spans="1:3" x14ac:dyDescent="0.3">
      <c r="B31">
        <v>4000</v>
      </c>
    </row>
    <row r="33" spans="1:3" x14ac:dyDescent="0.3">
      <c r="A33" t="s">
        <v>12</v>
      </c>
      <c r="B33" s="1">
        <f>IRR(B28:B31)</f>
        <v>0.22069637358339689</v>
      </c>
    </row>
    <row r="35" spans="1:3" x14ac:dyDescent="0.3">
      <c r="A35">
        <v>1</v>
      </c>
      <c r="B35">
        <v>-7800</v>
      </c>
      <c r="C35" s="3">
        <v>46023</v>
      </c>
    </row>
    <row r="36" spans="1:3" x14ac:dyDescent="0.3">
      <c r="A36">
        <v>2</v>
      </c>
      <c r="B36">
        <v>2000</v>
      </c>
      <c r="C36" s="3">
        <v>46388</v>
      </c>
    </row>
    <row r="37" spans="1:3" x14ac:dyDescent="0.3">
      <c r="A37">
        <v>3</v>
      </c>
      <c r="B37">
        <v>1000</v>
      </c>
      <c r="C37" s="3">
        <v>46753</v>
      </c>
    </row>
    <row r="38" spans="1:3" x14ac:dyDescent="0.3">
      <c r="A38">
        <v>4</v>
      </c>
      <c r="B38">
        <v>4000</v>
      </c>
      <c r="C38" s="3">
        <v>47119</v>
      </c>
    </row>
    <row r="39" spans="1:3" x14ac:dyDescent="0.3">
      <c r="A39">
        <v>5</v>
      </c>
      <c r="B39">
        <v>1000</v>
      </c>
      <c r="C39" s="3">
        <v>47484</v>
      </c>
    </row>
    <row r="40" spans="1:3" x14ac:dyDescent="0.3">
      <c r="A40">
        <v>6</v>
      </c>
      <c r="B40">
        <v>4000</v>
      </c>
      <c r="C40" s="3">
        <v>47849</v>
      </c>
    </row>
    <row r="42" spans="1:3" x14ac:dyDescent="0.3">
      <c r="B42" t="s">
        <v>14</v>
      </c>
      <c r="C42" s="5">
        <f>XIRR(B35:B40, C35:C40)</f>
        <v>0.14435109496116638</v>
      </c>
    </row>
    <row r="44" spans="1:3" x14ac:dyDescent="0.3">
      <c r="A44" t="s">
        <v>15</v>
      </c>
      <c r="B44" s="1"/>
      <c r="C44" s="1">
        <f>RATE(60,226.45,-12000)</f>
        <v>4.1659385235149416E-3</v>
      </c>
    </row>
    <row r="45" spans="1:3" x14ac:dyDescent="0.3">
      <c r="B45" s="2">
        <f>PMT(5%/12,60,12000)</f>
        <v>-226.45480372813122</v>
      </c>
      <c r="C45">
        <f>RATE(60,-226.45,12000)*12</f>
        <v>4.9991262282174945E-2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2026-07-05T10:30:48Z</dcterms:created>
  <dcterms:modified xsi:type="dcterms:W3CDTF">2026-07-05T11:58:46Z</dcterms:modified>
</cp:coreProperties>
</file>